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<sst xmlns="http://schemas.openxmlformats.org/spreadsheetml/2006/main" count="69" uniqueCount="14">
  <si>
    <t>Shot</t>
  </si>
  <si>
    <t>Phase</t>
  </si>
  <si>
    <t>A_goals</t>
  </si>
  <si>
    <t>B_goals</t>
  </si>
  <si>
    <t>P(A wins)</t>
  </si>
  <si>
    <t>Prob A rounded</t>
  </si>
  <si>
    <t>Price A</t>
  </si>
  <si>
    <t>P(B wins)</t>
  </si>
  <si>
    <t>Prob B</t>
  </si>
  <si>
    <t>Price B</t>
  </si>
  <si>
    <t>Samples</t>
  </si>
  <si>
    <t>Sims</t>
  </si>
  <si>
    <t>reg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</si>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</sst>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2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2" xfId="0" applyAlignment="1" applyFont="1" applyNumberForma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2" xfId="0" applyAlignment="1" applyFont="1" applyNumberForma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2" xfId="0" applyAlignment="1" applyFont="1" applyNumberForma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2" numFmtId="2" xfId="0" applyAlignment="1" applyFont="1" applyNumberFormat="1">
      <alignment readingOrder="0"/>
    </xf>
    <xf borderId="0" fillId="6" fontId="2" numFmtId="0" xfId="0" applyFont="1"/>
    <xf borderId="0" fillId="7" fontId="2" numFmtId="0" xfId="0" applyAlignment="1" applyFill="1" applyFont="1">
      <alignment readingOrder="0"/>
    </xf>
    <xf borderId="0" fillId="7" fontId="2" numFmtId="2" xfId="0" applyAlignment="1" applyFont="1" applyNumberFormat="1">
      <alignment readingOrder="0"/>
    </xf>
    <xf borderId="0" fillId="7" fontId="2" numFmtId="0" xfId="0" applyFont="1"/>
    <xf borderId="0" fillId="8" fontId="2" numFmtId="0" xfId="0" applyAlignment="1" applyFill="1" applyFont="1">
      <alignment readingOrder="0"/>
    </xf>
    <xf borderId="0" fillId="8" fontId="2" numFmtId="2" xfId="0" applyAlignment="1" applyFont="1" applyNumberFormat="1">
      <alignment readingOrder="0"/>
    </xf>
    <xf borderId="0" fillId="8" fontId="2" numFmtId="0" xfId="0" applyFont="1"/>
    <xf borderId="0" fillId="9" fontId="2" numFmtId="0" xfId="0" applyAlignment="1" applyFill="1" applyFont="1">
      <alignment readingOrder="0"/>
    </xf>
    <xf borderId="0" fillId="9" fontId="2" numFmtId="2" xfId="0" applyAlignment="1" applyFont="1" applyNumberFormat="1">
      <alignment readingOrder="0"/>
    </xf>
    <xf borderId="0" fillId="9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5" width="12.63"/>
    <col hidden="1" min="8" max="8" width="12.63"/>
    <col hidden="1" min="11" max="1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>
      <c r="A2" s="3">
        <v>1.0</v>
      </c>
      <c r="B2" s="3" t="s">
        <v>12</v>
      </c>
      <c r="C2" s="3">
        <v>0.0</v>
      </c>
      <c r="D2" s="3">
        <v>0.0</v>
      </c>
      <c r="E2" s="3">
        <v>0.3948</v>
      </c>
      <c r="F2" s="3">
        <f t="shared" ref="F2:F9" si="1">ROUND(E2,2)</f>
        <v>0.39</v>
      </c>
      <c r="G2" s="4">
        <f t="shared" ref="G2:G58" si="2">1/F2</f>
        <v>2.564102564</v>
      </c>
      <c r="H2" s="3">
        <v>0.6052</v>
      </c>
      <c r="I2" s="3">
        <f t="shared" ref="I2:I58" si="3">1-F2</f>
        <v>0.61</v>
      </c>
      <c r="J2" s="4">
        <f t="shared" ref="J2:J58" si="4">1/I2</f>
        <v>1.639344262</v>
      </c>
      <c r="K2" s="3">
        <v>339802.0</v>
      </c>
      <c r="L2" s="5">
        <f t="shared" ref="L2:L58" si="5">sumif(A:A,A2,K:K)</f>
        <v>500000</v>
      </c>
    </row>
    <row r="3">
      <c r="A3" s="3">
        <v>1.0</v>
      </c>
      <c r="B3" s="3" t="s">
        <v>12</v>
      </c>
      <c r="C3" s="3">
        <v>1.0</v>
      </c>
      <c r="D3" s="3">
        <v>0.0</v>
      </c>
      <c r="E3" s="3">
        <v>0.7223</v>
      </c>
      <c r="F3" s="3">
        <f t="shared" si="1"/>
        <v>0.72</v>
      </c>
      <c r="G3" s="4">
        <f t="shared" si="2"/>
        <v>1.388888889</v>
      </c>
      <c r="H3" s="3">
        <v>0.2777</v>
      </c>
      <c r="I3" s="3">
        <f t="shared" si="3"/>
        <v>0.28</v>
      </c>
      <c r="J3" s="4">
        <f t="shared" si="4"/>
        <v>3.571428571</v>
      </c>
      <c r="K3" s="3">
        <v>160198.0</v>
      </c>
      <c r="L3" s="5">
        <f t="shared" si="5"/>
        <v>500000</v>
      </c>
    </row>
    <row r="4">
      <c r="A4" s="6">
        <v>2.0</v>
      </c>
      <c r="B4" s="6" t="s">
        <v>12</v>
      </c>
      <c r="C4" s="6">
        <v>0.0</v>
      </c>
      <c r="D4" s="6">
        <v>0.0</v>
      </c>
      <c r="E4" s="6">
        <v>0.5006</v>
      </c>
      <c r="F4" s="6">
        <f t="shared" si="1"/>
        <v>0.5</v>
      </c>
      <c r="G4" s="7">
        <f t="shared" si="2"/>
        <v>2</v>
      </c>
      <c r="H4" s="6">
        <v>0.4994</v>
      </c>
      <c r="I4" s="6">
        <f t="shared" si="3"/>
        <v>0.5</v>
      </c>
      <c r="J4" s="7">
        <f t="shared" si="4"/>
        <v>2</v>
      </c>
      <c r="K4" s="6">
        <v>231113.0</v>
      </c>
      <c r="L4" s="8">
        <f t="shared" si="5"/>
        <v>500000</v>
      </c>
    </row>
    <row r="5">
      <c r="A5" s="6">
        <v>2.0</v>
      </c>
      <c r="B5" s="6" t="s">
        <v>12</v>
      </c>
      <c r="C5" s="6">
        <v>0.0</v>
      </c>
      <c r="D5" s="6">
        <v>1.0</v>
      </c>
      <c r="E5" s="6">
        <v>0.17</v>
      </c>
      <c r="F5" s="6">
        <f t="shared" si="1"/>
        <v>0.17</v>
      </c>
      <c r="G5" s="7">
        <f t="shared" si="2"/>
        <v>5.882352941</v>
      </c>
      <c r="H5" s="6">
        <v>0.83</v>
      </c>
      <c r="I5" s="6">
        <f t="shared" si="3"/>
        <v>0.83</v>
      </c>
      <c r="J5" s="7">
        <f t="shared" si="4"/>
        <v>1.204819277</v>
      </c>
      <c r="K5" s="6">
        <v>108689.0</v>
      </c>
      <c r="L5" s="8">
        <f t="shared" si="5"/>
        <v>500000</v>
      </c>
    </row>
    <row r="6">
      <c r="A6" s="6">
        <v>2.0</v>
      </c>
      <c r="B6" s="6" t="s">
        <v>12</v>
      </c>
      <c r="C6" s="6">
        <v>1.0</v>
      </c>
      <c r="D6" s="6">
        <v>0.0</v>
      </c>
      <c r="E6" s="6">
        <v>0.8285</v>
      </c>
      <c r="F6" s="6">
        <f t="shared" si="1"/>
        <v>0.83</v>
      </c>
      <c r="G6" s="7">
        <f t="shared" si="2"/>
        <v>1.204819277</v>
      </c>
      <c r="H6" s="6">
        <v>0.1715</v>
      </c>
      <c r="I6" s="6">
        <f t="shared" si="3"/>
        <v>0.17</v>
      </c>
      <c r="J6" s="7">
        <f t="shared" si="4"/>
        <v>5.882352941</v>
      </c>
      <c r="K6" s="6">
        <v>109032.0</v>
      </c>
      <c r="L6" s="8">
        <f t="shared" si="5"/>
        <v>500000</v>
      </c>
    </row>
    <row r="7">
      <c r="A7" s="6">
        <v>2.0</v>
      </c>
      <c r="B7" s="6" t="s">
        <v>12</v>
      </c>
      <c r="C7" s="6">
        <v>1.0</v>
      </c>
      <c r="D7" s="6">
        <v>1.0</v>
      </c>
      <c r="E7" s="6">
        <v>0.4958</v>
      </c>
      <c r="F7" s="6">
        <f t="shared" si="1"/>
        <v>0.5</v>
      </c>
      <c r="G7" s="7">
        <f t="shared" si="2"/>
        <v>2</v>
      </c>
      <c r="H7" s="6">
        <v>0.5042</v>
      </c>
      <c r="I7" s="6">
        <f t="shared" si="3"/>
        <v>0.5</v>
      </c>
      <c r="J7" s="7">
        <f t="shared" si="4"/>
        <v>2</v>
      </c>
      <c r="K7" s="6">
        <v>51166.0</v>
      </c>
      <c r="L7" s="8">
        <f t="shared" si="5"/>
        <v>500000</v>
      </c>
    </row>
    <row r="8">
      <c r="A8" s="9">
        <v>3.0</v>
      </c>
      <c r="B8" s="9" t="s">
        <v>12</v>
      </c>
      <c r="C8" s="9">
        <v>0.0</v>
      </c>
      <c r="D8" s="9">
        <v>0.0</v>
      </c>
      <c r="E8" s="9">
        <v>0.3764</v>
      </c>
      <c r="F8" s="9">
        <f t="shared" si="1"/>
        <v>0.38</v>
      </c>
      <c r="G8" s="10">
        <f t="shared" si="2"/>
        <v>2.631578947</v>
      </c>
      <c r="H8" s="9">
        <v>0.6236</v>
      </c>
      <c r="I8" s="9">
        <f t="shared" si="3"/>
        <v>0.62</v>
      </c>
      <c r="J8" s="10">
        <f t="shared" si="4"/>
        <v>1.612903226</v>
      </c>
      <c r="K8" s="9">
        <v>157374.0</v>
      </c>
      <c r="L8" s="11">
        <f t="shared" si="5"/>
        <v>500000</v>
      </c>
    </row>
    <row r="9">
      <c r="A9" s="9">
        <v>3.0</v>
      </c>
      <c r="B9" s="9" t="s">
        <v>12</v>
      </c>
      <c r="C9" s="9">
        <v>0.0</v>
      </c>
      <c r="D9" s="9">
        <v>1.0</v>
      </c>
      <c r="E9" s="9">
        <v>0.0737</v>
      </c>
      <c r="F9" s="9">
        <f t="shared" si="1"/>
        <v>0.07</v>
      </c>
      <c r="G9" s="10">
        <f t="shared" si="2"/>
        <v>14.28571429</v>
      </c>
      <c r="H9" s="9">
        <v>0.9263</v>
      </c>
      <c r="I9" s="9">
        <f t="shared" si="3"/>
        <v>0.93</v>
      </c>
      <c r="J9" s="10">
        <f t="shared" si="4"/>
        <v>1.075268817</v>
      </c>
      <c r="K9" s="9">
        <v>73983.0</v>
      </c>
      <c r="L9" s="11">
        <f t="shared" si="5"/>
        <v>500000</v>
      </c>
    </row>
    <row r="10">
      <c r="A10" s="9">
        <v>3.0</v>
      </c>
      <c r="B10" s="9" t="s">
        <v>12</v>
      </c>
      <c r="C10" s="9">
        <v>1.0</v>
      </c>
      <c r="D10" s="9">
        <v>0.0</v>
      </c>
      <c r="E10" s="9">
        <v>0.7653</v>
      </c>
      <c r="F10" s="9">
        <v>0.76</v>
      </c>
      <c r="G10" s="10">
        <f t="shared" si="2"/>
        <v>1.315789474</v>
      </c>
      <c r="H10" s="9">
        <v>0.2347</v>
      </c>
      <c r="I10" s="9">
        <f t="shared" si="3"/>
        <v>0.24</v>
      </c>
      <c r="J10" s="10">
        <f t="shared" si="4"/>
        <v>4.166666667</v>
      </c>
      <c r="K10" s="9">
        <v>147869.0</v>
      </c>
      <c r="L10" s="11">
        <f t="shared" si="5"/>
        <v>500000</v>
      </c>
    </row>
    <row r="11">
      <c r="A11" s="9">
        <v>3.0</v>
      </c>
      <c r="B11" s="9" t="s">
        <v>12</v>
      </c>
      <c r="C11" s="9">
        <v>1.0</v>
      </c>
      <c r="D11" s="9">
        <v>1.0</v>
      </c>
      <c r="E11" s="9">
        <v>0.3731</v>
      </c>
      <c r="F11" s="9">
        <v>0.38</v>
      </c>
      <c r="G11" s="10">
        <f t="shared" si="2"/>
        <v>2.631578947</v>
      </c>
      <c r="H11" s="9">
        <v>0.6269</v>
      </c>
      <c r="I11" s="9">
        <f t="shared" si="3"/>
        <v>0.62</v>
      </c>
      <c r="J11" s="10">
        <f t="shared" si="4"/>
        <v>1.612903226</v>
      </c>
      <c r="K11" s="9">
        <v>69632.0</v>
      </c>
      <c r="L11" s="11">
        <f t="shared" si="5"/>
        <v>500000</v>
      </c>
    </row>
    <row r="12">
      <c r="A12" s="9">
        <v>3.0</v>
      </c>
      <c r="B12" s="9" t="s">
        <v>12</v>
      </c>
      <c r="C12" s="9">
        <v>2.0</v>
      </c>
      <c r="D12" s="9">
        <v>0.0</v>
      </c>
      <c r="E12" s="9">
        <v>0.9636</v>
      </c>
      <c r="F12" s="9">
        <f t="shared" ref="F12:F21" si="6">ROUND(E12,2)</f>
        <v>0.96</v>
      </c>
      <c r="G12" s="10">
        <f t="shared" si="2"/>
        <v>1.041666667</v>
      </c>
      <c r="H12" s="9">
        <v>0.0364</v>
      </c>
      <c r="I12" s="9">
        <f t="shared" si="3"/>
        <v>0.04</v>
      </c>
      <c r="J12" s="10">
        <f t="shared" si="4"/>
        <v>25</v>
      </c>
      <c r="K12" s="9">
        <v>34902.0</v>
      </c>
      <c r="L12" s="11">
        <f t="shared" si="5"/>
        <v>500000</v>
      </c>
    </row>
    <row r="13">
      <c r="A13" s="9">
        <v>3.0</v>
      </c>
      <c r="B13" s="9" t="s">
        <v>12</v>
      </c>
      <c r="C13" s="9">
        <v>2.0</v>
      </c>
      <c r="D13" s="9">
        <v>1.0</v>
      </c>
      <c r="E13" s="9">
        <v>0.7641</v>
      </c>
      <c r="F13" s="9">
        <f t="shared" si="6"/>
        <v>0.76</v>
      </c>
      <c r="G13" s="10">
        <f t="shared" si="2"/>
        <v>1.315789474</v>
      </c>
      <c r="H13" s="9">
        <v>0.2359</v>
      </c>
      <c r="I13" s="9">
        <f t="shared" si="3"/>
        <v>0.24</v>
      </c>
      <c r="J13" s="10">
        <f t="shared" si="4"/>
        <v>4.166666667</v>
      </c>
      <c r="K13" s="9">
        <v>16240.0</v>
      </c>
      <c r="L13" s="11">
        <f t="shared" si="5"/>
        <v>500000</v>
      </c>
    </row>
    <row r="14">
      <c r="A14" s="12">
        <v>4.0</v>
      </c>
      <c r="B14" s="12" t="s">
        <v>12</v>
      </c>
      <c r="C14" s="12">
        <v>0.0</v>
      </c>
      <c r="D14" s="12">
        <v>0.0</v>
      </c>
      <c r="E14" s="12">
        <v>0.5016</v>
      </c>
      <c r="F14" s="12">
        <f t="shared" si="6"/>
        <v>0.5</v>
      </c>
      <c r="G14" s="13">
        <f t="shared" si="2"/>
        <v>2</v>
      </c>
      <c r="H14" s="12">
        <v>0.4984</v>
      </c>
      <c r="I14" s="12">
        <f t="shared" si="3"/>
        <v>0.5</v>
      </c>
      <c r="J14" s="13">
        <f t="shared" si="4"/>
        <v>2</v>
      </c>
      <c r="K14" s="12">
        <v>107189.0</v>
      </c>
      <c r="L14" s="14">
        <f t="shared" si="5"/>
        <v>500000</v>
      </c>
    </row>
    <row r="15">
      <c r="A15" s="12">
        <v>4.0</v>
      </c>
      <c r="B15" s="12" t="s">
        <v>12</v>
      </c>
      <c r="C15" s="12">
        <v>0.0</v>
      </c>
      <c r="D15" s="12">
        <v>1.0</v>
      </c>
      <c r="E15" s="12">
        <v>0.1088</v>
      </c>
      <c r="F15" s="12">
        <f t="shared" si="6"/>
        <v>0.11</v>
      </c>
      <c r="G15" s="13">
        <f t="shared" si="2"/>
        <v>9.090909091</v>
      </c>
      <c r="H15" s="12">
        <v>0.8912</v>
      </c>
      <c r="I15" s="12">
        <f t="shared" si="3"/>
        <v>0.89</v>
      </c>
      <c r="J15" s="13">
        <f t="shared" si="4"/>
        <v>1.123595506</v>
      </c>
      <c r="K15" s="12">
        <v>100338.0</v>
      </c>
      <c r="L15" s="14">
        <f t="shared" si="5"/>
        <v>500000</v>
      </c>
    </row>
    <row r="16">
      <c r="A16" s="12">
        <v>4.0</v>
      </c>
      <c r="B16" s="12" t="s">
        <v>12</v>
      </c>
      <c r="C16" s="12">
        <v>0.0</v>
      </c>
      <c r="D16" s="12">
        <v>2.0</v>
      </c>
      <c r="E16" s="12">
        <v>0.0</v>
      </c>
      <c r="F16" s="12">
        <f t="shared" si="6"/>
        <v>0</v>
      </c>
      <c r="G16" s="13" t="str">
        <f t="shared" si="2"/>
        <v>#DIV/0!</v>
      </c>
      <c r="H16" s="12">
        <v>1.0</v>
      </c>
      <c r="I16" s="12">
        <f t="shared" si="3"/>
        <v>1</v>
      </c>
      <c r="J16" s="13">
        <f t="shared" si="4"/>
        <v>1</v>
      </c>
      <c r="K16" s="12">
        <v>23830.0</v>
      </c>
      <c r="L16" s="14">
        <f t="shared" si="5"/>
        <v>500000</v>
      </c>
    </row>
    <row r="17">
      <c r="A17" s="12">
        <v>4.0</v>
      </c>
      <c r="B17" s="12" t="s">
        <v>12</v>
      </c>
      <c r="C17" s="12">
        <v>1.0</v>
      </c>
      <c r="D17" s="12">
        <v>0.0</v>
      </c>
      <c r="E17" s="12">
        <v>0.8904</v>
      </c>
      <c r="F17" s="12">
        <f t="shared" si="6"/>
        <v>0.89</v>
      </c>
      <c r="G17" s="13">
        <f t="shared" si="2"/>
        <v>1.123595506</v>
      </c>
      <c r="H17" s="12">
        <v>0.1096</v>
      </c>
      <c r="I17" s="12">
        <f t="shared" si="3"/>
        <v>0.11</v>
      </c>
      <c r="J17" s="13">
        <f t="shared" si="4"/>
        <v>9.090909091</v>
      </c>
      <c r="K17" s="12">
        <v>100496.0</v>
      </c>
      <c r="L17" s="14">
        <f t="shared" si="5"/>
        <v>500000</v>
      </c>
    </row>
    <row r="18">
      <c r="A18" s="12">
        <v>4.0</v>
      </c>
      <c r="B18" s="12" t="s">
        <v>12</v>
      </c>
      <c r="C18" s="12">
        <v>1.0</v>
      </c>
      <c r="D18" s="12">
        <v>1.0</v>
      </c>
      <c r="E18" s="12">
        <v>0.4987</v>
      </c>
      <c r="F18" s="12">
        <f t="shared" si="6"/>
        <v>0.5</v>
      </c>
      <c r="G18" s="13">
        <f t="shared" si="2"/>
        <v>2</v>
      </c>
      <c r="H18" s="12">
        <v>0.5013</v>
      </c>
      <c r="I18" s="12">
        <f t="shared" si="3"/>
        <v>0.5</v>
      </c>
      <c r="J18" s="13">
        <f t="shared" si="4"/>
        <v>2</v>
      </c>
      <c r="K18" s="12">
        <v>94712.0</v>
      </c>
      <c r="L18" s="14">
        <f t="shared" si="5"/>
        <v>500000</v>
      </c>
    </row>
    <row r="19">
      <c r="A19" s="12">
        <v>4.0</v>
      </c>
      <c r="B19" s="12" t="s">
        <v>12</v>
      </c>
      <c r="C19" s="12">
        <v>1.0</v>
      </c>
      <c r="D19" s="12">
        <v>2.0</v>
      </c>
      <c r="E19" s="12">
        <v>0.1088</v>
      </c>
      <c r="F19" s="12">
        <f t="shared" si="6"/>
        <v>0.11</v>
      </c>
      <c r="G19" s="13">
        <f t="shared" si="2"/>
        <v>9.090909091</v>
      </c>
      <c r="H19" s="12">
        <v>0.8912</v>
      </c>
      <c r="I19" s="12">
        <f t="shared" si="3"/>
        <v>0.89</v>
      </c>
      <c r="J19" s="13">
        <f t="shared" si="4"/>
        <v>1.123595506</v>
      </c>
      <c r="K19" s="12">
        <v>22293.0</v>
      </c>
      <c r="L19" s="14">
        <f t="shared" si="5"/>
        <v>500000</v>
      </c>
    </row>
    <row r="20">
      <c r="A20" s="12">
        <v>4.0</v>
      </c>
      <c r="B20" s="12" t="s">
        <v>12</v>
      </c>
      <c r="C20" s="12">
        <v>2.0</v>
      </c>
      <c r="D20" s="12">
        <v>0.0</v>
      </c>
      <c r="E20" s="12">
        <v>1.0</v>
      </c>
      <c r="F20" s="12">
        <f t="shared" si="6"/>
        <v>1</v>
      </c>
      <c r="G20" s="13">
        <f t="shared" si="2"/>
        <v>1</v>
      </c>
      <c r="H20" s="12">
        <v>0.0</v>
      </c>
      <c r="I20" s="12">
        <f t="shared" si="3"/>
        <v>0</v>
      </c>
      <c r="J20" s="13" t="str">
        <f t="shared" si="4"/>
        <v>#DIV/0!</v>
      </c>
      <c r="K20" s="12">
        <v>23619.0</v>
      </c>
      <c r="L20" s="14">
        <f t="shared" si="5"/>
        <v>500000</v>
      </c>
    </row>
    <row r="21">
      <c r="A21" s="12">
        <v>4.0</v>
      </c>
      <c r="B21" s="12" t="s">
        <v>12</v>
      </c>
      <c r="C21" s="12">
        <v>2.0</v>
      </c>
      <c r="D21" s="12">
        <v>1.0</v>
      </c>
      <c r="E21" s="12">
        <v>0.8889</v>
      </c>
      <c r="F21" s="12">
        <f t="shared" si="6"/>
        <v>0.89</v>
      </c>
      <c r="G21" s="13">
        <f t="shared" si="2"/>
        <v>1.123595506</v>
      </c>
      <c r="H21" s="12">
        <v>0.1111</v>
      </c>
      <c r="I21" s="12">
        <f t="shared" si="3"/>
        <v>0.11</v>
      </c>
      <c r="J21" s="13">
        <f t="shared" si="4"/>
        <v>9.090909091</v>
      </c>
      <c r="K21" s="12">
        <v>22342.0</v>
      </c>
      <c r="L21" s="14">
        <f t="shared" si="5"/>
        <v>500000</v>
      </c>
    </row>
    <row r="22">
      <c r="A22" s="12">
        <v>4.0</v>
      </c>
      <c r="B22" s="12" t="s">
        <v>12</v>
      </c>
      <c r="C22" s="12">
        <v>2.0</v>
      </c>
      <c r="D22" s="12">
        <v>2.0</v>
      </c>
      <c r="E22" s="12">
        <v>0.4945</v>
      </c>
      <c r="F22" s="12">
        <v>0.5</v>
      </c>
      <c r="G22" s="13">
        <f t="shared" si="2"/>
        <v>2</v>
      </c>
      <c r="H22" s="12">
        <v>0.5055</v>
      </c>
      <c r="I22" s="12">
        <f t="shared" si="3"/>
        <v>0.5</v>
      </c>
      <c r="J22" s="13">
        <f t="shared" si="4"/>
        <v>2</v>
      </c>
      <c r="K22" s="12">
        <v>5181.0</v>
      </c>
      <c r="L22" s="14">
        <f t="shared" si="5"/>
        <v>500000</v>
      </c>
    </row>
    <row r="23">
      <c r="A23" s="15">
        <v>5.0</v>
      </c>
      <c r="B23" s="15" t="s">
        <v>12</v>
      </c>
      <c r="C23" s="15">
        <v>0.0</v>
      </c>
      <c r="D23" s="15">
        <v>0.0</v>
      </c>
      <c r="E23" s="15">
        <v>0.3431</v>
      </c>
      <c r="F23" s="15">
        <f t="shared" ref="F23:F33" si="7">ROUND(E23,2)</f>
        <v>0.34</v>
      </c>
      <c r="G23" s="16">
        <f t="shared" si="2"/>
        <v>2.941176471</v>
      </c>
      <c r="H23" s="15">
        <v>0.6569</v>
      </c>
      <c r="I23" s="15">
        <f t="shared" si="3"/>
        <v>0.66</v>
      </c>
      <c r="J23" s="16">
        <f t="shared" si="4"/>
        <v>1.515151515</v>
      </c>
      <c r="K23" s="15">
        <v>72914.0</v>
      </c>
      <c r="L23" s="17">
        <f t="shared" si="5"/>
        <v>500000</v>
      </c>
    </row>
    <row r="24">
      <c r="A24" s="15">
        <v>5.0</v>
      </c>
      <c r="B24" s="15" t="s">
        <v>12</v>
      </c>
      <c r="C24" s="15">
        <v>0.0</v>
      </c>
      <c r="D24" s="15">
        <v>1.0</v>
      </c>
      <c r="E24" s="15">
        <v>0.0</v>
      </c>
      <c r="F24" s="15">
        <f t="shared" si="7"/>
        <v>0</v>
      </c>
      <c r="G24" s="16" t="str">
        <f t="shared" si="2"/>
        <v>#DIV/0!</v>
      </c>
      <c r="H24" s="15">
        <v>1.0</v>
      </c>
      <c r="I24" s="15">
        <f t="shared" si="3"/>
        <v>1</v>
      </c>
      <c r="J24" s="16">
        <f t="shared" si="4"/>
        <v>1</v>
      </c>
      <c r="K24" s="15">
        <v>68132.0</v>
      </c>
      <c r="L24" s="17">
        <f t="shared" si="5"/>
        <v>500000</v>
      </c>
    </row>
    <row r="25">
      <c r="A25" s="15">
        <v>5.0</v>
      </c>
      <c r="B25" s="15" t="s">
        <v>12</v>
      </c>
      <c r="C25" s="15">
        <v>0.0</v>
      </c>
      <c r="D25" s="15">
        <v>2.0</v>
      </c>
      <c r="E25" s="15">
        <v>0.0</v>
      </c>
      <c r="F25" s="15">
        <f t="shared" si="7"/>
        <v>0</v>
      </c>
      <c r="G25" s="16" t="str">
        <f t="shared" si="2"/>
        <v>#DIV/0!</v>
      </c>
      <c r="H25" s="15">
        <v>1.0</v>
      </c>
      <c r="I25" s="15">
        <f t="shared" si="3"/>
        <v>1</v>
      </c>
      <c r="J25" s="16">
        <f t="shared" si="4"/>
        <v>1</v>
      </c>
      <c r="K25" s="15">
        <v>16253.0</v>
      </c>
      <c r="L25" s="17">
        <f t="shared" si="5"/>
        <v>500000</v>
      </c>
    </row>
    <row r="26">
      <c r="A26" s="15">
        <v>5.0</v>
      </c>
      <c r="B26" s="15" t="s">
        <v>12</v>
      </c>
      <c r="C26" s="15">
        <v>1.0</v>
      </c>
      <c r="D26" s="15">
        <v>0.0</v>
      </c>
      <c r="E26" s="15">
        <v>0.8388</v>
      </c>
      <c r="F26" s="15">
        <f t="shared" si="7"/>
        <v>0.84</v>
      </c>
      <c r="G26" s="16">
        <f t="shared" si="2"/>
        <v>1.19047619</v>
      </c>
      <c r="H26" s="15">
        <v>0.1612</v>
      </c>
      <c r="I26" s="15">
        <f t="shared" si="3"/>
        <v>0.16</v>
      </c>
      <c r="J26" s="16">
        <f t="shared" si="4"/>
        <v>6.25</v>
      </c>
      <c r="K26" s="15">
        <v>102628.0</v>
      </c>
      <c r="L26" s="17">
        <f t="shared" si="5"/>
        <v>500000</v>
      </c>
    </row>
    <row r="27">
      <c r="A27" s="15">
        <v>5.0</v>
      </c>
      <c r="B27" s="15" t="s">
        <v>12</v>
      </c>
      <c r="C27" s="15">
        <v>1.0</v>
      </c>
      <c r="D27" s="15">
        <v>1.0</v>
      </c>
      <c r="E27" s="15">
        <v>0.3385</v>
      </c>
      <c r="F27" s="15">
        <f t="shared" si="7"/>
        <v>0.34</v>
      </c>
      <c r="G27" s="16">
        <f t="shared" si="2"/>
        <v>2.941176471</v>
      </c>
      <c r="H27" s="15">
        <v>0.6615</v>
      </c>
      <c r="I27" s="15">
        <f t="shared" si="3"/>
        <v>0.66</v>
      </c>
      <c r="J27" s="16">
        <f t="shared" si="4"/>
        <v>1.515151515</v>
      </c>
      <c r="K27" s="15">
        <v>96642.0</v>
      </c>
      <c r="L27" s="17">
        <f t="shared" si="5"/>
        <v>500000</v>
      </c>
    </row>
    <row r="28">
      <c r="A28" s="15">
        <v>5.0</v>
      </c>
      <c r="B28" s="15" t="s">
        <v>12</v>
      </c>
      <c r="C28" s="15">
        <v>1.0</v>
      </c>
      <c r="D28" s="15">
        <v>2.0</v>
      </c>
      <c r="E28" s="15">
        <v>0.0</v>
      </c>
      <c r="F28" s="15">
        <f t="shared" si="7"/>
        <v>0</v>
      </c>
      <c r="G28" s="16" t="str">
        <f t="shared" si="2"/>
        <v>#DIV/0!</v>
      </c>
      <c r="H28" s="15">
        <v>1.0</v>
      </c>
      <c r="I28" s="15">
        <f t="shared" si="3"/>
        <v>1</v>
      </c>
      <c r="J28" s="16">
        <f t="shared" si="4"/>
        <v>1</v>
      </c>
      <c r="K28" s="15">
        <v>22807.0</v>
      </c>
      <c r="L28" s="17">
        <f t="shared" si="5"/>
        <v>500000</v>
      </c>
    </row>
    <row r="29">
      <c r="A29" s="15">
        <v>5.0</v>
      </c>
      <c r="B29" s="15" t="s">
        <v>12</v>
      </c>
      <c r="C29" s="15">
        <v>2.0</v>
      </c>
      <c r="D29" s="15">
        <v>0.0</v>
      </c>
      <c r="E29" s="15">
        <v>1.0</v>
      </c>
      <c r="F29" s="15">
        <f t="shared" si="7"/>
        <v>1</v>
      </c>
      <c r="G29" s="16">
        <f t="shared" si="2"/>
        <v>1</v>
      </c>
      <c r="H29" s="15">
        <v>0.0</v>
      </c>
      <c r="I29" s="15">
        <f t="shared" si="3"/>
        <v>0</v>
      </c>
      <c r="J29" s="16" t="str">
        <f t="shared" si="4"/>
        <v>#DIV/0!</v>
      </c>
      <c r="K29" s="15">
        <v>48390.0</v>
      </c>
      <c r="L29" s="17">
        <f t="shared" si="5"/>
        <v>500000</v>
      </c>
    </row>
    <row r="30">
      <c r="A30" s="15">
        <v>5.0</v>
      </c>
      <c r="B30" s="15" t="s">
        <v>12</v>
      </c>
      <c r="C30" s="15">
        <v>2.0</v>
      </c>
      <c r="D30" s="15">
        <v>1.0</v>
      </c>
      <c r="E30" s="15">
        <v>0.8392</v>
      </c>
      <c r="F30" s="15">
        <f t="shared" si="7"/>
        <v>0.84</v>
      </c>
      <c r="G30" s="16">
        <f t="shared" si="2"/>
        <v>1.19047619</v>
      </c>
      <c r="H30" s="15">
        <v>0.1608</v>
      </c>
      <c r="I30" s="15">
        <f t="shared" si="3"/>
        <v>0.16</v>
      </c>
      <c r="J30" s="16">
        <f t="shared" si="4"/>
        <v>6.25</v>
      </c>
      <c r="K30" s="15">
        <v>45492.0</v>
      </c>
      <c r="L30" s="17">
        <f t="shared" si="5"/>
        <v>500000</v>
      </c>
    </row>
    <row r="31">
      <c r="A31" s="15">
        <v>5.0</v>
      </c>
      <c r="B31" s="15" t="s">
        <v>12</v>
      </c>
      <c r="C31" s="15">
        <v>2.0</v>
      </c>
      <c r="D31" s="15">
        <v>2.0</v>
      </c>
      <c r="E31" s="15">
        <v>0.3422</v>
      </c>
      <c r="F31" s="15">
        <f t="shared" si="7"/>
        <v>0.34</v>
      </c>
      <c r="G31" s="16">
        <f t="shared" si="2"/>
        <v>2.941176471</v>
      </c>
      <c r="H31" s="15">
        <v>0.6578</v>
      </c>
      <c r="I31" s="15">
        <f t="shared" si="3"/>
        <v>0.66</v>
      </c>
      <c r="J31" s="16">
        <f t="shared" si="4"/>
        <v>1.515151515</v>
      </c>
      <c r="K31" s="15">
        <v>10614.0</v>
      </c>
      <c r="L31" s="17">
        <f t="shared" si="5"/>
        <v>500000</v>
      </c>
    </row>
    <row r="32">
      <c r="A32" s="15">
        <v>5.0</v>
      </c>
      <c r="B32" s="15" t="s">
        <v>12</v>
      </c>
      <c r="C32" s="15">
        <v>3.0</v>
      </c>
      <c r="D32" s="15">
        <v>0.0</v>
      </c>
      <c r="E32" s="15">
        <v>1.0</v>
      </c>
      <c r="F32" s="15">
        <f t="shared" si="7"/>
        <v>1</v>
      </c>
      <c r="G32" s="16">
        <f t="shared" si="2"/>
        <v>1</v>
      </c>
      <c r="H32" s="15">
        <v>0.0</v>
      </c>
      <c r="I32" s="15">
        <f t="shared" si="3"/>
        <v>0</v>
      </c>
      <c r="J32" s="16" t="str">
        <f t="shared" si="4"/>
        <v>#DIV/0!</v>
      </c>
      <c r="K32" s="15">
        <v>7372.0</v>
      </c>
      <c r="L32" s="17">
        <f t="shared" si="5"/>
        <v>500000</v>
      </c>
    </row>
    <row r="33">
      <c r="A33" s="15">
        <v>5.0</v>
      </c>
      <c r="B33" s="15" t="s">
        <v>12</v>
      </c>
      <c r="C33" s="15">
        <v>3.0</v>
      </c>
      <c r="D33" s="15">
        <v>1.0</v>
      </c>
      <c r="E33" s="15">
        <v>1.0</v>
      </c>
      <c r="F33" s="15">
        <f t="shared" si="7"/>
        <v>1</v>
      </c>
      <c r="G33" s="16">
        <f t="shared" si="2"/>
        <v>1</v>
      </c>
      <c r="H33" s="15">
        <v>0.0</v>
      </c>
      <c r="I33" s="15">
        <f t="shared" si="3"/>
        <v>0</v>
      </c>
      <c r="J33" s="16" t="str">
        <f t="shared" si="4"/>
        <v>#DIV/0!</v>
      </c>
      <c r="K33" s="15">
        <v>7126.0</v>
      </c>
      <c r="L33" s="17">
        <f t="shared" si="5"/>
        <v>500000</v>
      </c>
    </row>
    <row r="34">
      <c r="A34" s="15">
        <v>5.0</v>
      </c>
      <c r="B34" s="15" t="s">
        <v>12</v>
      </c>
      <c r="C34" s="15">
        <v>3.0</v>
      </c>
      <c r="D34" s="15">
        <v>2.0</v>
      </c>
      <c r="E34" s="15">
        <v>0.8313</v>
      </c>
      <c r="F34" s="15">
        <v>0.84</v>
      </c>
      <c r="G34" s="16">
        <f t="shared" si="2"/>
        <v>1.19047619</v>
      </c>
      <c r="H34" s="15">
        <v>0.1687</v>
      </c>
      <c r="I34" s="15">
        <f t="shared" si="3"/>
        <v>0.16</v>
      </c>
      <c r="J34" s="16">
        <f t="shared" si="4"/>
        <v>6.25</v>
      </c>
      <c r="K34" s="15">
        <v>1630.0</v>
      </c>
      <c r="L34" s="17">
        <f t="shared" si="5"/>
        <v>500000</v>
      </c>
    </row>
    <row r="35">
      <c r="A35" s="18">
        <v>6.0</v>
      </c>
      <c r="B35" s="18" t="s">
        <v>12</v>
      </c>
      <c r="C35" s="18">
        <v>0.0</v>
      </c>
      <c r="D35" s="18">
        <v>0.0</v>
      </c>
      <c r="E35" s="18">
        <v>0.5039</v>
      </c>
      <c r="F35" s="18">
        <f t="shared" ref="F35:F49" si="8">ROUND(E35,2)</f>
        <v>0.5</v>
      </c>
      <c r="G35" s="19">
        <f t="shared" si="2"/>
        <v>2</v>
      </c>
      <c r="H35" s="18">
        <v>0.4961</v>
      </c>
      <c r="I35" s="18">
        <f t="shared" si="3"/>
        <v>0.5</v>
      </c>
      <c r="J35" s="19">
        <f t="shared" si="4"/>
        <v>2</v>
      </c>
      <c r="K35" s="18">
        <v>49650.0</v>
      </c>
      <c r="L35" s="20">
        <f t="shared" si="5"/>
        <v>500000</v>
      </c>
    </row>
    <row r="36">
      <c r="A36" s="18">
        <v>6.0</v>
      </c>
      <c r="B36" s="18" t="s">
        <v>12</v>
      </c>
      <c r="C36" s="18">
        <v>0.0</v>
      </c>
      <c r="D36" s="18">
        <v>1.0</v>
      </c>
      <c r="E36" s="18">
        <v>0.0</v>
      </c>
      <c r="F36" s="18">
        <f t="shared" si="8"/>
        <v>0</v>
      </c>
      <c r="G36" s="19" t="str">
        <f t="shared" si="2"/>
        <v>#DIV/0!</v>
      </c>
      <c r="H36" s="18">
        <v>1.0</v>
      </c>
      <c r="I36" s="18">
        <f t="shared" si="3"/>
        <v>1</v>
      </c>
      <c r="J36" s="19">
        <f t="shared" si="4"/>
        <v>1</v>
      </c>
      <c r="K36" s="18">
        <v>69510.0</v>
      </c>
      <c r="L36" s="20">
        <f t="shared" si="5"/>
        <v>500000</v>
      </c>
    </row>
    <row r="37">
      <c r="A37" s="18">
        <v>6.0</v>
      </c>
      <c r="B37" s="18" t="s">
        <v>12</v>
      </c>
      <c r="C37" s="18">
        <v>0.0</v>
      </c>
      <c r="D37" s="18">
        <v>2.0</v>
      </c>
      <c r="E37" s="18">
        <v>0.0</v>
      </c>
      <c r="F37" s="18">
        <f t="shared" si="8"/>
        <v>0</v>
      </c>
      <c r="G37" s="19" t="str">
        <f t="shared" si="2"/>
        <v>#DIV/0!</v>
      </c>
      <c r="H37" s="18">
        <v>1.0</v>
      </c>
      <c r="I37" s="18">
        <f t="shared" si="3"/>
        <v>1</v>
      </c>
      <c r="J37" s="19">
        <f t="shared" si="4"/>
        <v>1</v>
      </c>
      <c r="K37" s="18">
        <v>32887.0</v>
      </c>
      <c r="L37" s="20">
        <f t="shared" si="5"/>
        <v>500000</v>
      </c>
    </row>
    <row r="38">
      <c r="A38" s="18">
        <v>6.0</v>
      </c>
      <c r="B38" s="18" t="s">
        <v>12</v>
      </c>
      <c r="C38" s="18">
        <v>0.0</v>
      </c>
      <c r="D38" s="18">
        <v>3.0</v>
      </c>
      <c r="E38" s="18">
        <v>0.0</v>
      </c>
      <c r="F38" s="18">
        <f t="shared" si="8"/>
        <v>0</v>
      </c>
      <c r="G38" s="19" t="str">
        <f t="shared" si="2"/>
        <v>#DIV/0!</v>
      </c>
      <c r="H38" s="18">
        <v>1.0</v>
      </c>
      <c r="I38" s="18">
        <f t="shared" si="3"/>
        <v>1</v>
      </c>
      <c r="J38" s="19">
        <f t="shared" si="4"/>
        <v>1</v>
      </c>
      <c r="K38" s="18">
        <v>5252.0</v>
      </c>
      <c r="L38" s="20">
        <f t="shared" si="5"/>
        <v>500000</v>
      </c>
    </row>
    <row r="39">
      <c r="A39" s="18">
        <v>6.0</v>
      </c>
      <c r="B39" s="18" t="s">
        <v>12</v>
      </c>
      <c r="C39" s="18">
        <v>1.0</v>
      </c>
      <c r="D39" s="18">
        <v>0.0</v>
      </c>
      <c r="E39" s="18">
        <v>1.0</v>
      </c>
      <c r="F39" s="18">
        <f t="shared" si="8"/>
        <v>1</v>
      </c>
      <c r="G39" s="19">
        <f t="shared" si="2"/>
        <v>1</v>
      </c>
      <c r="H39" s="18">
        <v>0.0</v>
      </c>
      <c r="I39" s="18">
        <f t="shared" si="3"/>
        <v>0</v>
      </c>
      <c r="J39" s="19" t="str">
        <f t="shared" si="4"/>
        <v>#DIV/0!</v>
      </c>
      <c r="K39" s="18">
        <v>69532.0</v>
      </c>
      <c r="L39" s="20">
        <f t="shared" si="5"/>
        <v>500000</v>
      </c>
    </row>
    <row r="40">
      <c r="A40" s="18">
        <v>6.0</v>
      </c>
      <c r="B40" s="18" t="s">
        <v>12</v>
      </c>
      <c r="C40" s="18">
        <v>1.0</v>
      </c>
      <c r="D40" s="18">
        <v>1.0</v>
      </c>
      <c r="E40" s="18">
        <v>0.499</v>
      </c>
      <c r="F40" s="18">
        <f t="shared" si="8"/>
        <v>0.5</v>
      </c>
      <c r="G40" s="19">
        <f t="shared" si="2"/>
        <v>2</v>
      </c>
      <c r="H40" s="18">
        <v>0.501</v>
      </c>
      <c r="I40" s="18">
        <f t="shared" si="3"/>
        <v>0.5</v>
      </c>
      <c r="J40" s="19">
        <f t="shared" si="4"/>
        <v>2</v>
      </c>
      <c r="K40" s="18">
        <v>98732.0</v>
      </c>
      <c r="L40" s="20">
        <f t="shared" si="5"/>
        <v>500000</v>
      </c>
    </row>
    <row r="41">
      <c r="A41" s="18">
        <v>6.0</v>
      </c>
      <c r="B41" s="18" t="s">
        <v>12</v>
      </c>
      <c r="C41" s="18">
        <v>1.0</v>
      </c>
      <c r="D41" s="18">
        <v>2.0</v>
      </c>
      <c r="E41" s="18">
        <v>0.0</v>
      </c>
      <c r="F41" s="18">
        <f t="shared" si="8"/>
        <v>0</v>
      </c>
      <c r="G41" s="19" t="str">
        <f t="shared" si="2"/>
        <v>#DIV/0!</v>
      </c>
      <c r="H41" s="18">
        <v>1.0</v>
      </c>
      <c r="I41" s="18">
        <f t="shared" si="3"/>
        <v>1</v>
      </c>
      <c r="J41" s="19">
        <f t="shared" si="4"/>
        <v>1</v>
      </c>
      <c r="K41" s="18">
        <v>46628.0</v>
      </c>
      <c r="L41" s="20">
        <f t="shared" si="5"/>
        <v>500000</v>
      </c>
    </row>
    <row r="42">
      <c r="A42" s="18">
        <v>6.0</v>
      </c>
      <c r="B42" s="18" t="s">
        <v>12</v>
      </c>
      <c r="C42" s="18">
        <v>1.0</v>
      </c>
      <c r="D42" s="18">
        <v>3.0</v>
      </c>
      <c r="E42" s="18">
        <v>0.0</v>
      </c>
      <c r="F42" s="18">
        <f t="shared" si="8"/>
        <v>0</v>
      </c>
      <c r="G42" s="19" t="str">
        <f t="shared" si="2"/>
        <v>#DIV/0!</v>
      </c>
      <c r="H42" s="18">
        <v>1.0</v>
      </c>
      <c r="I42" s="18">
        <f t="shared" si="3"/>
        <v>1</v>
      </c>
      <c r="J42" s="19">
        <f t="shared" si="4"/>
        <v>1</v>
      </c>
      <c r="K42" s="18">
        <v>7185.0</v>
      </c>
      <c r="L42" s="20">
        <f t="shared" si="5"/>
        <v>500000</v>
      </c>
    </row>
    <row r="43">
      <c r="A43" s="18">
        <v>6.0</v>
      </c>
      <c r="B43" s="18" t="s">
        <v>12</v>
      </c>
      <c r="C43" s="18">
        <v>2.0</v>
      </c>
      <c r="D43" s="18">
        <v>0.0</v>
      </c>
      <c r="E43" s="18">
        <v>1.0</v>
      </c>
      <c r="F43" s="18">
        <f t="shared" si="8"/>
        <v>1</v>
      </c>
      <c r="G43" s="19">
        <f t="shared" si="2"/>
        <v>1</v>
      </c>
      <c r="H43" s="18">
        <v>0.0</v>
      </c>
      <c r="I43" s="18">
        <f t="shared" si="3"/>
        <v>0</v>
      </c>
      <c r="J43" s="19" t="str">
        <f t="shared" si="4"/>
        <v>#DIV/0!</v>
      </c>
      <c r="K43" s="18">
        <v>32953.0</v>
      </c>
      <c r="L43" s="20">
        <f t="shared" si="5"/>
        <v>500000</v>
      </c>
    </row>
    <row r="44">
      <c r="A44" s="18">
        <v>6.0</v>
      </c>
      <c r="B44" s="18" t="s">
        <v>12</v>
      </c>
      <c r="C44" s="18">
        <v>2.0</v>
      </c>
      <c r="D44" s="18">
        <v>1.0</v>
      </c>
      <c r="E44" s="18">
        <v>1.0</v>
      </c>
      <c r="F44" s="18">
        <f t="shared" si="8"/>
        <v>1</v>
      </c>
      <c r="G44" s="19">
        <f t="shared" si="2"/>
        <v>1</v>
      </c>
      <c r="H44" s="18">
        <v>0.0</v>
      </c>
      <c r="I44" s="18">
        <f t="shared" si="3"/>
        <v>0</v>
      </c>
      <c r="J44" s="19" t="str">
        <f t="shared" si="4"/>
        <v>#DIV/0!</v>
      </c>
      <c r="K44" s="18">
        <v>46265.0</v>
      </c>
      <c r="L44" s="20">
        <f t="shared" si="5"/>
        <v>500000</v>
      </c>
    </row>
    <row r="45">
      <c r="A45" s="18">
        <v>6.0</v>
      </c>
      <c r="B45" s="18" t="s">
        <v>12</v>
      </c>
      <c r="C45" s="18">
        <v>2.0</v>
      </c>
      <c r="D45" s="18">
        <v>2.0</v>
      </c>
      <c r="E45" s="18">
        <v>0.5029</v>
      </c>
      <c r="F45" s="18">
        <f t="shared" si="8"/>
        <v>0.5</v>
      </c>
      <c r="G45" s="19">
        <f t="shared" si="2"/>
        <v>2</v>
      </c>
      <c r="H45" s="18">
        <v>0.4971</v>
      </c>
      <c r="I45" s="18">
        <f t="shared" si="3"/>
        <v>0.5</v>
      </c>
      <c r="J45" s="19">
        <f t="shared" si="4"/>
        <v>2</v>
      </c>
      <c r="K45" s="18">
        <v>21833.0</v>
      </c>
      <c r="L45" s="20">
        <f t="shared" si="5"/>
        <v>500000</v>
      </c>
    </row>
    <row r="46">
      <c r="A46" s="18">
        <v>6.0</v>
      </c>
      <c r="B46" s="18" t="s">
        <v>12</v>
      </c>
      <c r="C46" s="18">
        <v>2.0</v>
      </c>
      <c r="D46" s="18">
        <v>3.0</v>
      </c>
      <c r="E46" s="18">
        <v>0.0</v>
      </c>
      <c r="F46" s="18">
        <f t="shared" si="8"/>
        <v>0</v>
      </c>
      <c r="G46" s="19" t="str">
        <f t="shared" si="2"/>
        <v>#DIV/0!</v>
      </c>
      <c r="H46" s="18">
        <v>1.0</v>
      </c>
      <c r="I46" s="18">
        <f t="shared" si="3"/>
        <v>1</v>
      </c>
      <c r="J46" s="19">
        <f t="shared" si="4"/>
        <v>1</v>
      </c>
      <c r="K46" s="18">
        <v>3445.0</v>
      </c>
      <c r="L46" s="20">
        <f t="shared" si="5"/>
        <v>500000</v>
      </c>
    </row>
    <row r="47">
      <c r="A47" s="18">
        <v>6.0</v>
      </c>
      <c r="B47" s="18" t="s">
        <v>12</v>
      </c>
      <c r="C47" s="18">
        <v>3.0</v>
      </c>
      <c r="D47" s="18">
        <v>0.0</v>
      </c>
      <c r="E47" s="18">
        <v>1.0</v>
      </c>
      <c r="F47" s="18">
        <f t="shared" si="8"/>
        <v>1</v>
      </c>
      <c r="G47" s="19">
        <f t="shared" si="2"/>
        <v>1</v>
      </c>
      <c r="H47" s="18">
        <v>0.0</v>
      </c>
      <c r="I47" s="18">
        <f t="shared" si="3"/>
        <v>0</v>
      </c>
      <c r="J47" s="19" t="str">
        <f t="shared" si="4"/>
        <v>#DIV/0!</v>
      </c>
      <c r="K47" s="18">
        <v>5020.0</v>
      </c>
      <c r="L47" s="20">
        <f t="shared" si="5"/>
        <v>500000</v>
      </c>
    </row>
    <row r="48">
      <c r="A48" s="18">
        <v>6.0</v>
      </c>
      <c r="B48" s="18" t="s">
        <v>12</v>
      </c>
      <c r="C48" s="18">
        <v>3.0</v>
      </c>
      <c r="D48" s="18">
        <v>1.0</v>
      </c>
      <c r="E48" s="18">
        <v>1.0</v>
      </c>
      <c r="F48" s="18">
        <f t="shared" si="8"/>
        <v>1</v>
      </c>
      <c r="G48" s="19">
        <f t="shared" si="2"/>
        <v>1</v>
      </c>
      <c r="H48" s="18">
        <v>0.0</v>
      </c>
      <c r="I48" s="18">
        <f t="shared" si="3"/>
        <v>0</v>
      </c>
      <c r="J48" s="19" t="str">
        <f t="shared" si="4"/>
        <v>#DIV/0!</v>
      </c>
      <c r="K48" s="18">
        <v>7253.0</v>
      </c>
      <c r="L48" s="20">
        <f t="shared" si="5"/>
        <v>500000</v>
      </c>
    </row>
    <row r="49">
      <c r="A49" s="18">
        <v>6.0</v>
      </c>
      <c r="B49" s="18" t="s">
        <v>12</v>
      </c>
      <c r="C49" s="18">
        <v>3.0</v>
      </c>
      <c r="D49" s="18">
        <v>2.0</v>
      </c>
      <c r="E49" s="18">
        <v>1.0</v>
      </c>
      <c r="F49" s="18">
        <f t="shared" si="8"/>
        <v>1</v>
      </c>
      <c r="G49" s="19">
        <f t="shared" si="2"/>
        <v>1</v>
      </c>
      <c r="H49" s="18">
        <v>0.0</v>
      </c>
      <c r="I49" s="18">
        <f t="shared" si="3"/>
        <v>0</v>
      </c>
      <c r="J49" s="19" t="str">
        <f t="shared" si="4"/>
        <v>#DIV/0!</v>
      </c>
      <c r="K49" s="18">
        <v>3314.0</v>
      </c>
      <c r="L49" s="20">
        <f t="shared" si="5"/>
        <v>500000</v>
      </c>
    </row>
    <row r="50">
      <c r="A50" s="18">
        <v>6.0</v>
      </c>
      <c r="B50" s="18" t="s">
        <v>12</v>
      </c>
      <c r="C50" s="18">
        <v>3.0</v>
      </c>
      <c r="D50" s="18">
        <v>3.0</v>
      </c>
      <c r="E50" s="18">
        <v>0.4917</v>
      </c>
      <c r="F50" s="18">
        <v>0.5</v>
      </c>
      <c r="G50" s="19">
        <f t="shared" si="2"/>
        <v>2</v>
      </c>
      <c r="H50" s="18">
        <v>0.5083</v>
      </c>
      <c r="I50" s="18">
        <f t="shared" si="3"/>
        <v>0.5</v>
      </c>
      <c r="J50" s="19">
        <f t="shared" si="4"/>
        <v>2</v>
      </c>
      <c r="K50" s="18">
        <v>541.0</v>
      </c>
      <c r="L50" s="20">
        <f t="shared" si="5"/>
        <v>500000</v>
      </c>
    </row>
    <row r="51">
      <c r="A51" s="21">
        <v>7.0</v>
      </c>
      <c r="B51" s="21" t="s">
        <v>13</v>
      </c>
      <c r="C51" s="21">
        <v>0.0</v>
      </c>
      <c r="D51" s="21">
        <v>0.0</v>
      </c>
      <c r="E51" s="21">
        <v>0.3431</v>
      </c>
      <c r="F51" s="21">
        <f t="shared" ref="F51:F56" si="9">ROUND(E51,2)</f>
        <v>0.34</v>
      </c>
      <c r="G51" s="22">
        <f t="shared" si="2"/>
        <v>2.941176471</v>
      </c>
      <c r="H51" s="21">
        <v>0.6569</v>
      </c>
      <c r="I51" s="21">
        <f t="shared" si="3"/>
        <v>0.66</v>
      </c>
      <c r="J51" s="22">
        <f t="shared" si="4"/>
        <v>1.515151515</v>
      </c>
      <c r="K51" s="21">
        <v>33643.0</v>
      </c>
      <c r="L51" s="23">
        <f t="shared" si="5"/>
        <v>170756</v>
      </c>
    </row>
    <row r="52">
      <c r="A52" s="21">
        <v>7.0</v>
      </c>
      <c r="B52" s="21" t="s">
        <v>13</v>
      </c>
      <c r="C52" s="21">
        <v>1.0</v>
      </c>
      <c r="D52" s="21">
        <v>0.0</v>
      </c>
      <c r="E52" s="21">
        <v>0.8419</v>
      </c>
      <c r="F52" s="21">
        <f t="shared" si="9"/>
        <v>0.84</v>
      </c>
      <c r="G52" s="22">
        <f t="shared" si="2"/>
        <v>1.19047619</v>
      </c>
      <c r="H52" s="21">
        <v>0.1581</v>
      </c>
      <c r="I52" s="21">
        <f t="shared" si="3"/>
        <v>0.16</v>
      </c>
      <c r="J52" s="22">
        <f t="shared" si="4"/>
        <v>6.25</v>
      </c>
      <c r="K52" s="21">
        <v>16007.0</v>
      </c>
      <c r="L52" s="23">
        <f t="shared" si="5"/>
        <v>170756</v>
      </c>
    </row>
    <row r="53">
      <c r="A53" s="21">
        <v>7.0</v>
      </c>
      <c r="B53" s="21" t="s">
        <v>13</v>
      </c>
      <c r="C53" s="21">
        <v>1.0</v>
      </c>
      <c r="D53" s="21">
        <v>1.0</v>
      </c>
      <c r="E53" s="21">
        <v>0.3398</v>
      </c>
      <c r="F53" s="21">
        <f t="shared" si="9"/>
        <v>0.34</v>
      </c>
      <c r="G53" s="22">
        <f t="shared" si="2"/>
        <v>2.941176471</v>
      </c>
      <c r="H53" s="21">
        <v>0.6602</v>
      </c>
      <c r="I53" s="21">
        <f t="shared" si="3"/>
        <v>0.66</v>
      </c>
      <c r="J53" s="22">
        <f t="shared" si="4"/>
        <v>1.515151515</v>
      </c>
      <c r="K53" s="21">
        <v>67318.0</v>
      </c>
      <c r="L53" s="23">
        <f t="shared" si="5"/>
        <v>170756</v>
      </c>
    </row>
    <row r="54">
      <c r="A54" s="21">
        <v>7.0</v>
      </c>
      <c r="B54" s="21" t="s">
        <v>13</v>
      </c>
      <c r="C54" s="21">
        <v>2.0</v>
      </c>
      <c r="D54" s="21">
        <v>1.0</v>
      </c>
      <c r="E54" s="21">
        <v>0.84</v>
      </c>
      <c r="F54" s="21">
        <f t="shared" si="9"/>
        <v>0.84</v>
      </c>
      <c r="G54" s="22">
        <f t="shared" si="2"/>
        <v>1.19047619</v>
      </c>
      <c r="H54" s="21">
        <v>0.16</v>
      </c>
      <c r="I54" s="21">
        <f t="shared" si="3"/>
        <v>0.16</v>
      </c>
      <c r="J54" s="22">
        <f t="shared" si="4"/>
        <v>6.25</v>
      </c>
      <c r="K54" s="21">
        <v>31414.0</v>
      </c>
      <c r="L54" s="23">
        <f t="shared" si="5"/>
        <v>170756</v>
      </c>
    </row>
    <row r="55">
      <c r="A55" s="21">
        <v>7.0</v>
      </c>
      <c r="B55" s="21" t="s">
        <v>13</v>
      </c>
      <c r="C55" s="21">
        <v>2.0</v>
      </c>
      <c r="D55" s="21">
        <v>2.0</v>
      </c>
      <c r="E55" s="21">
        <v>0.3421</v>
      </c>
      <c r="F55" s="21">
        <f t="shared" si="9"/>
        <v>0.34</v>
      </c>
      <c r="G55" s="22">
        <f t="shared" si="2"/>
        <v>2.941176471</v>
      </c>
      <c r="H55" s="21">
        <v>0.6579</v>
      </c>
      <c r="I55" s="21">
        <f t="shared" si="3"/>
        <v>0.66</v>
      </c>
      <c r="J55" s="22">
        <f t="shared" si="4"/>
        <v>1.515151515</v>
      </c>
      <c r="K55" s="21">
        <v>14714.0</v>
      </c>
      <c r="L55" s="23">
        <f t="shared" si="5"/>
        <v>170756</v>
      </c>
    </row>
    <row r="56">
      <c r="A56" s="21">
        <v>7.0</v>
      </c>
      <c r="B56" s="21" t="s">
        <v>13</v>
      </c>
      <c r="C56" s="21">
        <v>3.0</v>
      </c>
      <c r="D56" s="21">
        <v>2.0</v>
      </c>
      <c r="E56" s="21">
        <v>0.8352</v>
      </c>
      <c r="F56" s="21">
        <f t="shared" si="9"/>
        <v>0.84</v>
      </c>
      <c r="G56" s="22">
        <f t="shared" si="2"/>
        <v>1.19047619</v>
      </c>
      <c r="H56" s="21">
        <v>0.1648</v>
      </c>
      <c r="I56" s="21">
        <f t="shared" si="3"/>
        <v>0.16</v>
      </c>
      <c r="J56" s="22">
        <f t="shared" si="4"/>
        <v>6.25</v>
      </c>
      <c r="K56" s="21">
        <v>7119.0</v>
      </c>
      <c r="L56" s="23">
        <f t="shared" si="5"/>
        <v>170756</v>
      </c>
    </row>
    <row r="57">
      <c r="A57" s="21">
        <v>7.0</v>
      </c>
      <c r="B57" s="21" t="s">
        <v>13</v>
      </c>
      <c r="C57" s="21">
        <v>3.0</v>
      </c>
      <c r="D57" s="21">
        <v>3.0</v>
      </c>
      <c r="E57" s="21">
        <v>0.3679</v>
      </c>
      <c r="F57" s="21">
        <v>0.34</v>
      </c>
      <c r="G57" s="22">
        <f t="shared" si="2"/>
        <v>2.941176471</v>
      </c>
      <c r="H57" s="21">
        <v>0.6321</v>
      </c>
      <c r="I57" s="21">
        <f t="shared" si="3"/>
        <v>0.66</v>
      </c>
      <c r="J57" s="22">
        <f t="shared" si="4"/>
        <v>1.515151515</v>
      </c>
      <c r="K57" s="21">
        <v>386.0</v>
      </c>
      <c r="L57" s="23">
        <f t="shared" si="5"/>
        <v>170756</v>
      </c>
    </row>
    <row r="58">
      <c r="A58" s="21">
        <v>7.0</v>
      </c>
      <c r="B58" s="21" t="s">
        <v>13</v>
      </c>
      <c r="C58" s="21">
        <v>4.0</v>
      </c>
      <c r="D58" s="21">
        <v>3.0</v>
      </c>
      <c r="E58" s="21">
        <v>0.8</v>
      </c>
      <c r="F58" s="21">
        <v>0.84</v>
      </c>
      <c r="G58" s="22">
        <f t="shared" si="2"/>
        <v>1.19047619</v>
      </c>
      <c r="H58" s="21">
        <v>0.2</v>
      </c>
      <c r="I58" s="21">
        <f t="shared" si="3"/>
        <v>0.16</v>
      </c>
      <c r="J58" s="22">
        <f t="shared" si="4"/>
        <v>6.25</v>
      </c>
      <c r="K58" s="21">
        <v>155.0</v>
      </c>
      <c r="L58" s="23">
        <f t="shared" si="5"/>
        <v>170756</v>
      </c>
    </row>
  </sheetData>
  <drawing r:id="rId1"/>
</worksheet>
</file>